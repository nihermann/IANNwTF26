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7e4a261c9dcd839/Dokumente/UniOsnabrueck/Studium/3_Semester/Implementing ANNs with TensorFlow/"/>
    </mc:Choice>
  </mc:AlternateContent>
  <xr:revisionPtr revIDLastSave="691" documentId="8_{DFE760BA-6807-4AC4-87BC-8C777425567C}" xr6:coauthVersionLast="46" xr6:coauthVersionMax="46" xr10:uidLastSave="{6D3686D1-D0DD-4888-844D-C65D39BA814A}"/>
  <bookViews>
    <workbookView xWindow="-31095" yWindow="495" windowWidth="41355" windowHeight="10560" xr2:uid="{B119D7FB-DD6E-424D-B44F-0119C8638393}"/>
  </bookViews>
  <sheets>
    <sheet name="Sheet1" sheetId="1" r:id="rId1"/>
  </sheets>
  <functionGroups builtInGroupCount="19"/>
  <definedNames>
    <definedName name="Activation">Sheet1!$B$11</definedName>
    <definedName name="Delta12">Sheet1!$I$12</definedName>
    <definedName name="DeltaCorrector">Sheet1!$B$13</definedName>
    <definedName name="DeltaL11">Sheet1!$I$7</definedName>
    <definedName name="DeltaL12">Sheet1!$I$12</definedName>
    <definedName name="DeltaOut1">Sheet1!$N$8</definedName>
    <definedName name="DeltaOut2">Sheet1!$N$13</definedName>
    <definedName name="LearningRate">Sheet1!$B$7</definedName>
    <definedName name="Target1">Sheet1!$P$9</definedName>
    <definedName name="Target2">Sheet1!$P$14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" l="1"/>
  <c r="I13" i="1" s="1"/>
  <c r="H8" i="1"/>
  <c r="I8" i="1" s="1"/>
  <c r="M14" i="1" l="1"/>
  <c r="N14" i="1" s="1"/>
  <c r="M9" i="1"/>
  <c r="N9" i="1" s="1"/>
  <c r="N8" i="1" s="1"/>
  <c r="N13" i="1" l="1"/>
  <c r="M12" i="1" s="1"/>
  <c r="Q14" i="1"/>
  <c r="Q9" i="1"/>
  <c r="M7" i="1"/>
  <c r="K9" i="1" l="1"/>
  <c r="K14" i="1"/>
  <c r="K8" i="1"/>
  <c r="I7" i="1"/>
  <c r="F14" i="1" s="1"/>
  <c r="K12" i="1"/>
  <c r="I12" i="1"/>
  <c r="F6" i="1" s="1"/>
  <c r="F11" i="1" l="1"/>
  <c r="F15" i="1"/>
  <c r="H11" i="1"/>
  <c r="F5" i="1"/>
  <c r="F9" i="1"/>
  <c r="H6" i="1"/>
</calcChain>
</file>

<file path=xl/sharedStrings.xml><?xml version="1.0" encoding="utf-8"?>
<sst xmlns="http://schemas.openxmlformats.org/spreadsheetml/2006/main" count="17" uniqueCount="15">
  <si>
    <t>MLP</t>
  </si>
  <si>
    <t>Input</t>
  </si>
  <si>
    <t>Drive</t>
  </si>
  <si>
    <t>Input Layer</t>
  </si>
  <si>
    <t>Activation</t>
  </si>
  <si>
    <t>Relu</t>
  </si>
  <si>
    <t>Target</t>
  </si>
  <si>
    <t>Correction</t>
  </si>
  <si>
    <t>Delta</t>
  </si>
  <si>
    <t>Learning Rate:</t>
  </si>
  <si>
    <t>Changeable</t>
  </si>
  <si>
    <t>Layer 2 (Output)</t>
  </si>
  <si>
    <t>MSE</t>
  </si>
  <si>
    <t>Weight/Bias</t>
  </si>
  <si>
    <t>Layer 1 (hidden)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</si>
</sst>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gradientFill degree="270">
        <stop position="0">
          <color theme="9" tint="0.40000610370189521"/>
        </stop>
        <stop position="1">
          <color theme="4" tint="0.40000610370189521"/>
        </stop>
      </gradientFill>
    </fill>
  </fills>
  <borders count="4">
    <border>
      <left/>
      <right/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0" borderId="1" xfId="0" applyBorder="1"/>
    <xf numFmtId="0" fontId="0" fillId="0" borderId="0" xfId="0" applyBorder="1"/>
    <xf numFmtId="0" fontId="0" fillId="2" borderId="1" xfId="0" applyFill="1" applyBorder="1"/>
    <xf numFmtId="0" fontId="0" fillId="2" borderId="2" xfId="0" applyFill="1" applyBorder="1"/>
    <xf numFmtId="0" fontId="0" fillId="3" borderId="1" xfId="0" applyFill="1" applyBorder="1"/>
    <xf numFmtId="0" fontId="0" fillId="6" borderId="1" xfId="0" applyFill="1" applyBorder="1"/>
    <xf numFmtId="0" fontId="0" fillId="8" borderId="0" xfId="0" applyFill="1" applyBorder="1"/>
    <xf numFmtId="0" fontId="0" fillId="5" borderId="0" xfId="0" applyFill="1" applyBorder="1"/>
    <xf numFmtId="0" fontId="0" fillId="4" borderId="0" xfId="0" applyFill="1" applyBorder="1"/>
    <xf numFmtId="0" fontId="0" fillId="3" borderId="3" xfId="0" applyFill="1" applyBorder="1"/>
    <xf numFmtId="0" fontId="0" fillId="0" borderId="1" xfId="0" applyFill="1" applyBorder="1"/>
    <xf numFmtId="49" fontId="0" fillId="0" borderId="0" xfId="0" applyNumberFormat="1"/>
    <xf numFmtId="0" fontId="0" fillId="9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432954</xdr:colOff>
      <xdr:row>4</xdr:row>
      <xdr:rowOff>108239</xdr:rowOff>
    </xdr:from>
    <xdr:to>
      <xdr:col>6</xdr:col>
      <xdr:colOff>725199</xdr:colOff>
      <xdr:row>7</xdr:row>
      <xdr:rowOff>86591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C55DEA5-BC90-4AD7-AC30-EBA9CE2358F8}"/>
            </a:ext>
          </a:extLst>
        </xdr:cNvPr>
        <xdr:cNvCxnSpPr/>
      </xdr:nvCxnSpPr>
      <xdr:spPr>
        <a:xfrm>
          <a:off x="4044517" y="1302472"/>
          <a:ext cx="739631" cy="57366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440170</xdr:colOff>
      <xdr:row>5</xdr:row>
      <xdr:rowOff>101023</xdr:rowOff>
    </xdr:from>
    <xdr:to>
      <xdr:col>6</xdr:col>
      <xdr:colOff>732415</xdr:colOff>
      <xdr:row>12</xdr:row>
      <xdr:rowOff>68551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CDF7CAAA-11BB-47FD-9A6E-4343F56FF4D2}"/>
            </a:ext>
          </a:extLst>
        </xdr:cNvPr>
        <xdr:cNvCxnSpPr/>
      </xdr:nvCxnSpPr>
      <xdr:spPr>
        <a:xfrm>
          <a:off x="4051733" y="1493693"/>
          <a:ext cx="739631" cy="135659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443778</xdr:colOff>
      <xdr:row>7</xdr:row>
      <xdr:rowOff>126279</xdr:rowOff>
    </xdr:from>
    <xdr:to>
      <xdr:col>6</xdr:col>
      <xdr:colOff>732415</xdr:colOff>
      <xdr:row>8</xdr:row>
      <xdr:rowOff>86591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FBF84B43-473D-475C-97DA-8CF2FC7CB878}"/>
            </a:ext>
          </a:extLst>
        </xdr:cNvPr>
        <xdr:cNvCxnSpPr/>
      </xdr:nvCxnSpPr>
      <xdr:spPr>
        <a:xfrm flipV="1">
          <a:off x="4055341" y="1915824"/>
          <a:ext cx="736023" cy="158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440170</xdr:colOff>
      <xdr:row>10</xdr:row>
      <xdr:rowOff>90199</xdr:rowOff>
    </xdr:from>
    <xdr:to>
      <xdr:col>6</xdr:col>
      <xdr:colOff>736023</xdr:colOff>
      <xdr:row>12</xdr:row>
      <xdr:rowOff>122670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421C251D-684A-4E16-BF29-A0E6C3846374}"/>
            </a:ext>
          </a:extLst>
        </xdr:cNvPr>
        <xdr:cNvCxnSpPr/>
      </xdr:nvCxnSpPr>
      <xdr:spPr>
        <a:xfrm>
          <a:off x="4051733" y="2475057"/>
          <a:ext cx="743239" cy="42934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436562</xdr:colOff>
      <xdr:row>7</xdr:row>
      <xdr:rowOff>184006</xdr:rowOff>
    </xdr:from>
    <xdr:to>
      <xdr:col>6</xdr:col>
      <xdr:colOff>721591</xdr:colOff>
      <xdr:row>13</xdr:row>
      <xdr:rowOff>97415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1A1E7DF0-5F2B-49C6-87AC-8052BA4DEC22}"/>
            </a:ext>
          </a:extLst>
        </xdr:cNvPr>
        <xdr:cNvCxnSpPr/>
      </xdr:nvCxnSpPr>
      <xdr:spPr>
        <a:xfrm flipV="1">
          <a:off x="4048125" y="1973551"/>
          <a:ext cx="732415" cy="11040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</xdr:row>
      <xdr:rowOff>173182</xdr:rowOff>
    </xdr:from>
    <xdr:to>
      <xdr:col>6</xdr:col>
      <xdr:colOff>739631</xdr:colOff>
      <xdr:row>14</xdr:row>
      <xdr:rowOff>104633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580315D-0220-421D-9824-CDDDC10B8FD7}"/>
            </a:ext>
          </a:extLst>
        </xdr:cNvPr>
        <xdr:cNvCxnSpPr/>
      </xdr:nvCxnSpPr>
      <xdr:spPr>
        <a:xfrm flipV="1">
          <a:off x="4058949" y="2954915"/>
          <a:ext cx="739631" cy="3283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432955</xdr:colOff>
      <xdr:row>7</xdr:row>
      <xdr:rowOff>115455</xdr:rowOff>
    </xdr:from>
    <xdr:to>
      <xdr:col>11</xdr:col>
      <xdr:colOff>530369</xdr:colOff>
      <xdr:row>8</xdr:row>
      <xdr:rowOff>64943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F37E4CF3-4345-46B2-BE7D-7020441F88A8}"/>
            </a:ext>
          </a:extLst>
        </xdr:cNvPr>
        <xdr:cNvCxnSpPr/>
      </xdr:nvCxnSpPr>
      <xdr:spPr>
        <a:xfrm>
          <a:off x="6443807" y="1905000"/>
          <a:ext cx="544801" cy="1479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443779</xdr:colOff>
      <xdr:row>8</xdr:row>
      <xdr:rowOff>108239</xdr:rowOff>
    </xdr:from>
    <xdr:to>
      <xdr:col>11</xdr:col>
      <xdr:colOff>533977</xdr:colOff>
      <xdr:row>13</xdr:row>
      <xdr:rowOff>97415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C451038F-77A0-4A9C-A258-224732FD95BA}"/>
            </a:ext>
          </a:extLst>
        </xdr:cNvPr>
        <xdr:cNvCxnSpPr/>
      </xdr:nvCxnSpPr>
      <xdr:spPr>
        <a:xfrm>
          <a:off x="6454631" y="2096222"/>
          <a:ext cx="537585" cy="9813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443779</xdr:colOff>
      <xdr:row>13</xdr:row>
      <xdr:rowOff>108239</xdr:rowOff>
    </xdr:from>
    <xdr:to>
      <xdr:col>11</xdr:col>
      <xdr:colOff>526761</xdr:colOff>
      <xdr:row>13</xdr:row>
      <xdr:rowOff>158750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37B1284B-F791-4A90-91CA-29277E407CC8}"/>
            </a:ext>
          </a:extLst>
        </xdr:cNvPr>
        <xdr:cNvCxnSpPr/>
      </xdr:nvCxnSpPr>
      <xdr:spPr>
        <a:xfrm>
          <a:off x="6454631" y="3088409"/>
          <a:ext cx="530369" cy="505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7216</xdr:colOff>
      <xdr:row>8</xdr:row>
      <xdr:rowOff>79377</xdr:rowOff>
    </xdr:from>
    <xdr:to>
      <xdr:col>11</xdr:col>
      <xdr:colOff>533977</xdr:colOff>
      <xdr:row>11</xdr:row>
      <xdr:rowOff>97415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29193F0B-778E-42AE-ACE3-353A73BA9DF3}"/>
            </a:ext>
          </a:extLst>
        </xdr:cNvPr>
        <xdr:cNvCxnSpPr/>
      </xdr:nvCxnSpPr>
      <xdr:spPr>
        <a:xfrm flipV="1">
          <a:off x="6465455" y="2067360"/>
          <a:ext cx="526761" cy="61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732415</xdr:colOff>
      <xdr:row>4</xdr:row>
      <xdr:rowOff>165966</xdr:rowOff>
    </xdr:from>
    <xdr:to>
      <xdr:col>9</xdr:col>
      <xdr:colOff>64943</xdr:colOff>
      <xdr:row>8</xdr:row>
      <xdr:rowOff>64943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83408E0F-6CF4-4FCF-BD74-B2F2B514982F}"/>
            </a:ext>
          </a:extLst>
        </xdr:cNvPr>
        <xdr:cNvSpPr/>
      </xdr:nvSpPr>
      <xdr:spPr>
        <a:xfrm>
          <a:off x="4791364" y="1360199"/>
          <a:ext cx="1378238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739632</xdr:colOff>
      <xdr:row>9</xdr:row>
      <xdr:rowOff>166833</xdr:rowOff>
    </xdr:from>
    <xdr:to>
      <xdr:col>9</xdr:col>
      <xdr:colOff>58594</xdr:colOff>
      <xdr:row>13</xdr:row>
      <xdr:rowOff>65810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59E972CE-61A6-497A-B69D-EFA004FB497A}"/>
            </a:ext>
          </a:extLst>
        </xdr:cNvPr>
        <xdr:cNvSpPr/>
      </xdr:nvSpPr>
      <xdr:spPr>
        <a:xfrm>
          <a:off x="4798581" y="2353253"/>
          <a:ext cx="1364672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535709</xdr:colOff>
      <xdr:row>10</xdr:row>
      <xdr:rowOff>167699</xdr:rowOff>
    </xdr:from>
    <xdr:to>
      <xdr:col>14</xdr:col>
      <xdr:colOff>86591</xdr:colOff>
      <xdr:row>14</xdr:row>
      <xdr:rowOff>66676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73E336B8-1DD0-481E-9231-9683DB3B2C6C}"/>
            </a:ext>
          </a:extLst>
        </xdr:cNvPr>
        <xdr:cNvSpPr/>
      </xdr:nvSpPr>
      <xdr:spPr>
        <a:xfrm>
          <a:off x="6993948" y="2552557"/>
          <a:ext cx="1293524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529359</xdr:colOff>
      <xdr:row>5</xdr:row>
      <xdr:rowOff>154134</xdr:rowOff>
    </xdr:from>
    <xdr:to>
      <xdr:col>14</xdr:col>
      <xdr:colOff>80241</xdr:colOff>
      <xdr:row>9</xdr:row>
      <xdr:rowOff>53111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4941F833-1D1E-4530-B4C9-4310D15AC563}"/>
            </a:ext>
          </a:extLst>
        </xdr:cNvPr>
        <xdr:cNvSpPr/>
      </xdr:nvSpPr>
      <xdr:spPr>
        <a:xfrm>
          <a:off x="6987598" y="1546804"/>
          <a:ext cx="1293524" cy="692727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18040</xdr:colOff>
      <xdr:row>7</xdr:row>
      <xdr:rowOff>10825</xdr:rowOff>
    </xdr:from>
    <xdr:to>
      <xdr:col>7</xdr:col>
      <xdr:colOff>194059</xdr:colOff>
      <xdr:row>8</xdr:row>
      <xdr:rowOff>1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869E005C-8454-4CF3-B916-0D4B01EB4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9319" y="1800370"/>
          <a:ext cx="176019" cy="173181"/>
        </a:xfrm>
        <a:prstGeom prst="rect">
          <a:avLst/>
        </a:prstGeom>
      </xdr:spPr>
    </xdr:pic>
    <xdr:clientData/>
  </xdr:twoCellAnchor>
  <xdr:twoCellAnchor editAs="oneCell">
    <xdr:from>
      <xdr:col>8</xdr:col>
      <xdr:colOff>21648</xdr:colOff>
      <xdr:row>7</xdr:row>
      <xdr:rowOff>1</xdr:rowOff>
    </xdr:from>
    <xdr:to>
      <xdr:col>8</xdr:col>
      <xdr:colOff>216478</xdr:colOff>
      <xdr:row>8</xdr:row>
      <xdr:rowOff>1301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3B37E81C-4083-4148-8EDD-1765AF20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54205" y="1789546"/>
          <a:ext cx="194830" cy="194830"/>
        </a:xfrm>
        <a:prstGeom prst="rect">
          <a:avLst/>
        </a:prstGeom>
      </xdr:spPr>
    </xdr:pic>
    <xdr:clientData/>
  </xdr:twoCellAnchor>
  <xdr:twoCellAnchor editAs="oneCell">
    <xdr:from>
      <xdr:col>7</xdr:col>
      <xdr:colOff>21647</xdr:colOff>
      <xdr:row>12</xdr:row>
      <xdr:rowOff>10824</xdr:rowOff>
    </xdr:from>
    <xdr:to>
      <xdr:col>7</xdr:col>
      <xdr:colOff>191766</xdr:colOff>
      <xdr:row>13</xdr:row>
      <xdr:rowOff>1299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F3676A-2A06-491A-B5B8-2D31BCC76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24374" y="2792557"/>
          <a:ext cx="170119" cy="184006"/>
        </a:xfrm>
        <a:prstGeom prst="rect">
          <a:avLst/>
        </a:prstGeom>
      </xdr:spPr>
    </xdr:pic>
    <xdr:clientData/>
  </xdr:twoCellAnchor>
  <xdr:twoCellAnchor editAs="oneCell">
    <xdr:from>
      <xdr:col>8</xdr:col>
      <xdr:colOff>14432</xdr:colOff>
      <xdr:row>12</xdr:row>
      <xdr:rowOff>1</xdr:rowOff>
    </xdr:from>
    <xdr:to>
      <xdr:col>8</xdr:col>
      <xdr:colOff>202045</xdr:colOff>
      <xdr:row>13</xdr:row>
      <xdr:rowOff>10495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C5F4963A-1BE4-442C-BA54-16B47C4E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46989" y="2781734"/>
          <a:ext cx="187613" cy="208932"/>
        </a:xfrm>
        <a:prstGeom prst="rect">
          <a:avLst/>
        </a:prstGeom>
      </xdr:spPr>
    </xdr:pic>
    <xdr:clientData/>
  </xdr:twoCellAnchor>
  <xdr:twoCellAnchor editAs="oneCell">
    <xdr:from>
      <xdr:col>12</xdr:col>
      <xdr:colOff>21649</xdr:colOff>
      <xdr:row>8</xdr:row>
      <xdr:rowOff>7217</xdr:rowOff>
    </xdr:from>
    <xdr:to>
      <xdr:col>12</xdr:col>
      <xdr:colOff>171044</xdr:colOff>
      <xdr:row>9</xdr:row>
      <xdr:rowOff>1299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EBE40913-EB1B-4F10-B081-35B0ACB13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78751" y="1995200"/>
          <a:ext cx="149395" cy="187613"/>
        </a:xfrm>
        <a:prstGeom prst="rect">
          <a:avLst/>
        </a:prstGeom>
      </xdr:spPr>
    </xdr:pic>
    <xdr:clientData/>
  </xdr:twoCellAnchor>
  <xdr:twoCellAnchor editAs="oneCell">
    <xdr:from>
      <xdr:col>13</xdr:col>
      <xdr:colOff>21649</xdr:colOff>
      <xdr:row>8</xdr:row>
      <xdr:rowOff>14434</xdr:rowOff>
    </xdr:from>
    <xdr:to>
      <xdr:col>13</xdr:col>
      <xdr:colOff>187614</xdr:colOff>
      <xdr:row>9</xdr:row>
      <xdr:rowOff>22440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8BA2F163-46B8-403C-BCB7-C49BD04D3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93126" y="2002417"/>
          <a:ext cx="165965" cy="206444"/>
        </a:xfrm>
        <a:prstGeom prst="rect">
          <a:avLst/>
        </a:prstGeom>
      </xdr:spPr>
    </xdr:pic>
    <xdr:clientData/>
  </xdr:twoCellAnchor>
  <xdr:twoCellAnchor editAs="oneCell">
    <xdr:from>
      <xdr:col>9</xdr:col>
      <xdr:colOff>79376</xdr:colOff>
      <xdr:row>6</xdr:row>
      <xdr:rowOff>191222</xdr:rowOff>
    </xdr:from>
    <xdr:to>
      <xdr:col>9</xdr:col>
      <xdr:colOff>335976</xdr:colOff>
      <xdr:row>8</xdr:row>
      <xdr:rowOff>2454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E04B1765-5283-4ADC-A4A0-E0A827E1A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86621" y="1782330"/>
          <a:ext cx="256600" cy="198437"/>
        </a:xfrm>
        <a:prstGeom prst="rect">
          <a:avLst/>
        </a:prstGeom>
      </xdr:spPr>
    </xdr:pic>
    <xdr:clientData/>
  </xdr:twoCellAnchor>
  <xdr:twoCellAnchor editAs="oneCell">
    <xdr:from>
      <xdr:col>9</xdr:col>
      <xdr:colOff>61334</xdr:colOff>
      <xdr:row>11</xdr:row>
      <xdr:rowOff>10824</xdr:rowOff>
    </xdr:from>
    <xdr:to>
      <xdr:col>9</xdr:col>
      <xdr:colOff>306675</xdr:colOff>
      <xdr:row>11</xdr:row>
      <xdr:rowOff>180443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01CBF17A-EB5E-4CA4-8AC2-A41B623546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068579" y="2594119"/>
          <a:ext cx="245341" cy="169619"/>
        </a:xfrm>
        <a:prstGeom prst="rect">
          <a:avLst/>
        </a:prstGeom>
      </xdr:spPr>
    </xdr:pic>
    <xdr:clientData/>
  </xdr:twoCellAnchor>
  <xdr:twoCellAnchor editAs="oneCell">
    <xdr:from>
      <xdr:col>8</xdr:col>
      <xdr:colOff>21649</xdr:colOff>
      <xdr:row>5</xdr:row>
      <xdr:rowOff>198437</xdr:rowOff>
    </xdr:from>
    <xdr:to>
      <xdr:col>8</xdr:col>
      <xdr:colOff>151535</xdr:colOff>
      <xdr:row>7</xdr:row>
      <xdr:rowOff>1065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B609107B-0F2F-4106-8F6F-F5E4939C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354206" y="1591107"/>
          <a:ext cx="129886" cy="189833"/>
        </a:xfrm>
        <a:prstGeom prst="rect">
          <a:avLst/>
        </a:prstGeom>
      </xdr:spPr>
    </xdr:pic>
    <xdr:clientData/>
  </xdr:twoCellAnchor>
  <xdr:twoCellAnchor editAs="oneCell">
    <xdr:from>
      <xdr:col>8</xdr:col>
      <xdr:colOff>21650</xdr:colOff>
      <xdr:row>11</xdr:row>
      <xdr:rowOff>3609</xdr:rowOff>
    </xdr:from>
    <xdr:to>
      <xdr:col>8</xdr:col>
      <xdr:colOff>146724</xdr:colOff>
      <xdr:row>12</xdr:row>
      <xdr:rowOff>2455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41412F23-7A77-4A9D-B6D5-E732CD53B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51622" y="2586904"/>
          <a:ext cx="125074" cy="187613"/>
        </a:xfrm>
        <a:prstGeom prst="rect">
          <a:avLst/>
        </a:prstGeom>
      </xdr:spPr>
    </xdr:pic>
    <xdr:clientData/>
  </xdr:twoCellAnchor>
  <xdr:twoCellAnchor editAs="oneCell">
    <xdr:from>
      <xdr:col>13</xdr:col>
      <xdr:colOff>25257</xdr:colOff>
      <xdr:row>7</xdr:row>
      <xdr:rowOff>10824</xdr:rowOff>
    </xdr:from>
    <xdr:to>
      <xdr:col>13</xdr:col>
      <xdr:colOff>144319</xdr:colOff>
      <xdr:row>8</xdr:row>
      <xdr:rowOff>2105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4D45F608-4F28-4292-8D4E-CFDB8FCE7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561677" y="1800369"/>
          <a:ext cx="119062" cy="175286"/>
        </a:xfrm>
        <a:prstGeom prst="rect">
          <a:avLst/>
        </a:prstGeom>
      </xdr:spPr>
    </xdr:pic>
    <xdr:clientData/>
  </xdr:twoCellAnchor>
  <xdr:twoCellAnchor editAs="oneCell">
    <xdr:from>
      <xdr:col>12</xdr:col>
      <xdr:colOff>21647</xdr:colOff>
      <xdr:row>7</xdr:row>
      <xdr:rowOff>10824</xdr:rowOff>
    </xdr:from>
    <xdr:to>
      <xdr:col>12</xdr:col>
      <xdr:colOff>145078</xdr:colOff>
      <xdr:row>8</xdr:row>
      <xdr:rowOff>2455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203B5B9-929E-4A00-9568-839AB99D1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778749" y="1800369"/>
          <a:ext cx="123431" cy="180398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4</xdr:row>
      <xdr:rowOff>1</xdr:rowOff>
    </xdr:from>
    <xdr:to>
      <xdr:col>4</xdr:col>
      <xdr:colOff>230845</xdr:colOff>
      <xdr:row>5</xdr:row>
      <xdr:rowOff>1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9FB4DDF6-5BFD-43AB-9409-45F495CA6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228" y="1194234"/>
          <a:ext cx="230844" cy="18400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1</xdr:rowOff>
    </xdr:from>
    <xdr:to>
      <xdr:col>4</xdr:col>
      <xdr:colOff>255051</xdr:colOff>
      <xdr:row>9</xdr:row>
      <xdr:rowOff>1300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B79C1720-D15C-487D-9558-A3CDC0E62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915227" y="1987984"/>
          <a:ext cx="255051" cy="19483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12</xdr:row>
      <xdr:rowOff>198437</xdr:rowOff>
    </xdr:from>
    <xdr:to>
      <xdr:col>4</xdr:col>
      <xdr:colOff>239555</xdr:colOff>
      <xdr:row>13</xdr:row>
      <xdr:rowOff>184005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5F7ABC8C-CC23-4589-95A8-9443C6409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5227" y="2980170"/>
          <a:ext cx="239555" cy="184006"/>
        </a:xfrm>
        <a:prstGeom prst="rect">
          <a:avLst/>
        </a:prstGeom>
      </xdr:spPr>
    </xdr:pic>
    <xdr:clientData/>
  </xdr:twoCellAnchor>
  <xdr:twoCellAnchor editAs="oneCell">
    <xdr:from>
      <xdr:col>7</xdr:col>
      <xdr:colOff>18041</xdr:colOff>
      <xdr:row>6</xdr:row>
      <xdr:rowOff>3608</xdr:rowOff>
    </xdr:from>
    <xdr:to>
      <xdr:col>7</xdr:col>
      <xdr:colOff>115455</xdr:colOff>
      <xdr:row>6</xdr:row>
      <xdr:rowOff>173109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98461A52-265D-4C7F-B0EB-6C9E2865F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195456" y="1511733"/>
          <a:ext cx="97414" cy="1695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</xdr:row>
      <xdr:rowOff>198437</xdr:rowOff>
    </xdr:from>
    <xdr:to>
      <xdr:col>4</xdr:col>
      <xdr:colOff>241734</xdr:colOff>
      <xdr:row>6</xdr:row>
      <xdr:rowOff>2454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8F297E25-4FFE-44CF-B25C-4C4F36DCC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15227" y="1392670"/>
          <a:ext cx="241734" cy="191222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10</xdr:row>
      <xdr:rowOff>0</xdr:rowOff>
    </xdr:from>
    <xdr:to>
      <xdr:col>4</xdr:col>
      <xdr:colOff>272365</xdr:colOff>
      <xdr:row>11</xdr:row>
      <xdr:rowOff>144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DD9344DD-52E7-4C6D-9836-D755A5F7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5228" y="2384858"/>
          <a:ext cx="272364" cy="1984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</xdr:row>
      <xdr:rowOff>1</xdr:rowOff>
    </xdr:from>
    <xdr:to>
      <xdr:col>4</xdr:col>
      <xdr:colOff>247505</xdr:colOff>
      <xdr:row>14</xdr:row>
      <xdr:rowOff>176791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7B9AB444-4A18-4543-B500-AE24BECA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15227" y="3178609"/>
          <a:ext cx="247505" cy="176790"/>
        </a:xfrm>
        <a:prstGeom prst="rect">
          <a:avLst/>
        </a:prstGeom>
      </xdr:spPr>
    </xdr:pic>
    <xdr:clientData/>
  </xdr:twoCellAnchor>
  <xdr:twoCellAnchor editAs="oneCell">
    <xdr:from>
      <xdr:col>7</xdr:col>
      <xdr:colOff>14432</xdr:colOff>
      <xdr:row>11</xdr:row>
      <xdr:rowOff>3608</xdr:rowOff>
    </xdr:from>
    <xdr:to>
      <xdr:col>7</xdr:col>
      <xdr:colOff>138559</xdr:colOff>
      <xdr:row>12</xdr:row>
      <xdr:rowOff>1300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B92A7030-E920-45D0-B6B9-31436E330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852699" y="2586903"/>
          <a:ext cx="124127" cy="191222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0</xdr:rowOff>
    </xdr:from>
    <xdr:to>
      <xdr:col>9</xdr:col>
      <xdr:colOff>335540</xdr:colOff>
      <xdr:row>9</xdr:row>
      <xdr:rowOff>221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C1C03138-F101-4C2A-A5A5-8860A6C73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84034" y="1987983"/>
          <a:ext cx="256165" cy="198659"/>
        </a:xfrm>
        <a:prstGeom prst="rect">
          <a:avLst/>
        </a:prstGeom>
      </xdr:spPr>
    </xdr:pic>
    <xdr:clientData/>
  </xdr:twoCellAnchor>
  <xdr:twoCellAnchor editAs="oneCell">
    <xdr:from>
      <xdr:col>9</xdr:col>
      <xdr:colOff>64944</xdr:colOff>
      <xdr:row>13</xdr:row>
      <xdr:rowOff>3609</xdr:rowOff>
    </xdr:from>
    <xdr:to>
      <xdr:col>9</xdr:col>
      <xdr:colOff>310285</xdr:colOff>
      <xdr:row>14</xdr:row>
      <xdr:rowOff>3014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DB79A43-0525-4319-914C-6C23C385D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69603" y="2983779"/>
          <a:ext cx="245341" cy="183410"/>
        </a:xfrm>
        <a:prstGeom prst="rect">
          <a:avLst/>
        </a:prstGeom>
      </xdr:spPr>
    </xdr:pic>
    <xdr:clientData/>
  </xdr:twoCellAnchor>
  <xdr:twoCellAnchor editAs="oneCell">
    <xdr:from>
      <xdr:col>12</xdr:col>
      <xdr:colOff>25256</xdr:colOff>
      <xdr:row>12</xdr:row>
      <xdr:rowOff>3608</xdr:rowOff>
    </xdr:from>
    <xdr:to>
      <xdr:col>12</xdr:col>
      <xdr:colOff>147927</xdr:colOff>
      <xdr:row>13</xdr:row>
      <xdr:rowOff>2455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E0AC8A2-9552-4F6E-B992-C58DB615C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79773" y="2785341"/>
          <a:ext cx="122671" cy="187615"/>
        </a:xfrm>
        <a:prstGeom prst="rect">
          <a:avLst/>
        </a:prstGeom>
      </xdr:spPr>
    </xdr:pic>
    <xdr:clientData/>
  </xdr:twoCellAnchor>
  <xdr:twoCellAnchor editAs="oneCell">
    <xdr:from>
      <xdr:col>12</xdr:col>
      <xdr:colOff>14432</xdr:colOff>
      <xdr:row>13</xdr:row>
      <xdr:rowOff>3609</xdr:rowOff>
    </xdr:from>
    <xdr:to>
      <xdr:col>12</xdr:col>
      <xdr:colOff>159905</xdr:colOff>
      <xdr:row>14</xdr:row>
      <xdr:rowOff>2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A43A0C5A-F35E-4173-A54B-03F642E50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868949" y="2983779"/>
          <a:ext cx="145473" cy="194830"/>
        </a:xfrm>
        <a:prstGeom prst="rect">
          <a:avLst/>
        </a:prstGeom>
      </xdr:spPr>
    </xdr:pic>
    <xdr:clientData/>
  </xdr:twoCellAnchor>
  <xdr:twoCellAnchor editAs="oneCell">
    <xdr:from>
      <xdr:col>13</xdr:col>
      <xdr:colOff>18040</xdr:colOff>
      <xdr:row>13</xdr:row>
      <xdr:rowOff>7216</xdr:rowOff>
    </xdr:from>
    <xdr:to>
      <xdr:col>13</xdr:col>
      <xdr:colOff>162357</xdr:colOff>
      <xdr:row>14</xdr:row>
      <xdr:rowOff>3577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62937E-8806-453C-A948-11EFC76D4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651876" y="2987386"/>
          <a:ext cx="144317" cy="189891"/>
        </a:xfrm>
        <a:prstGeom prst="rect">
          <a:avLst/>
        </a:prstGeom>
      </xdr:spPr>
    </xdr:pic>
    <xdr:clientData/>
  </xdr:twoCellAnchor>
  <xdr:twoCellAnchor editAs="oneCell">
    <xdr:from>
      <xdr:col>13</xdr:col>
      <xdr:colOff>21648</xdr:colOff>
      <xdr:row>12</xdr:row>
      <xdr:rowOff>3609</xdr:rowOff>
    </xdr:from>
    <xdr:to>
      <xdr:col>13</xdr:col>
      <xdr:colOff>155142</xdr:colOff>
      <xdr:row>13</xdr:row>
      <xdr:rowOff>1504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10B3B76-CE65-452F-8743-0E71BD07E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55484" y="2785342"/>
          <a:ext cx="133494" cy="191426"/>
        </a:xfrm>
        <a:prstGeom prst="rect">
          <a:avLst/>
        </a:prstGeom>
      </xdr:spPr>
    </xdr:pic>
    <xdr:clientData/>
  </xdr:twoCellAnchor>
  <xdr:twoCellAnchor editAs="oneCell">
    <xdr:from>
      <xdr:col>13</xdr:col>
      <xdr:colOff>176790</xdr:colOff>
      <xdr:row>10</xdr:row>
      <xdr:rowOff>198437</xdr:rowOff>
    </xdr:from>
    <xdr:to>
      <xdr:col>13</xdr:col>
      <xdr:colOff>674687</xdr:colOff>
      <xdr:row>12</xdr:row>
      <xdr:rowOff>2731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D347A0E2-1B08-4D80-80C9-93B12A5D3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810626" y="2583295"/>
          <a:ext cx="497897" cy="191499"/>
        </a:xfrm>
        <a:prstGeom prst="rect">
          <a:avLst/>
        </a:prstGeom>
      </xdr:spPr>
    </xdr:pic>
    <xdr:clientData/>
  </xdr:twoCellAnchor>
  <xdr:twoCellAnchor editAs="oneCell">
    <xdr:from>
      <xdr:col>13</xdr:col>
      <xdr:colOff>162359</xdr:colOff>
      <xdr:row>5</xdr:row>
      <xdr:rowOff>176790</xdr:rowOff>
    </xdr:from>
    <xdr:to>
      <xdr:col>13</xdr:col>
      <xdr:colOff>714375</xdr:colOff>
      <xdr:row>6</xdr:row>
      <xdr:rowOff>180003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D05DD520-C310-4BE4-B263-1C892A128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16763" y="1500910"/>
          <a:ext cx="552016" cy="187218"/>
        </a:xfrm>
        <a:prstGeom prst="rect">
          <a:avLst/>
        </a:prstGeom>
      </xdr:spPr>
    </xdr:pic>
    <xdr:clientData/>
  </xdr:twoCellAnchor>
  <xdr:twoCellAnchor editAs="oneCell">
    <xdr:from>
      <xdr:col>8</xdr:col>
      <xdr:colOff>82983</xdr:colOff>
      <xdr:row>5</xdr:row>
      <xdr:rowOff>3608</xdr:rowOff>
    </xdr:from>
    <xdr:to>
      <xdr:col>8</xdr:col>
      <xdr:colOff>591704</xdr:colOff>
      <xdr:row>6</xdr:row>
      <xdr:rowOff>2899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378F92FB-F412-4D15-8E76-FFFD49AAE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512955" y="1396278"/>
          <a:ext cx="508721" cy="188058"/>
        </a:xfrm>
        <a:prstGeom prst="rect">
          <a:avLst/>
        </a:prstGeom>
      </xdr:spPr>
    </xdr:pic>
    <xdr:clientData/>
  </xdr:twoCellAnchor>
  <xdr:twoCellAnchor editAs="oneCell">
    <xdr:from>
      <xdr:col>8</xdr:col>
      <xdr:colOff>61336</xdr:colOff>
      <xdr:row>9</xdr:row>
      <xdr:rowOff>191223</xdr:rowOff>
    </xdr:from>
    <xdr:to>
      <xdr:col>8</xdr:col>
      <xdr:colOff>591705</xdr:colOff>
      <xdr:row>10</xdr:row>
      <xdr:rowOff>179062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81ED3E3C-DF24-409B-BB68-B1B0ADE6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491308" y="2377643"/>
          <a:ext cx="530369" cy="1862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14433</xdr:rowOff>
    </xdr:from>
    <xdr:to>
      <xdr:col>1</xdr:col>
      <xdr:colOff>238125</xdr:colOff>
      <xdr:row>5</xdr:row>
      <xdr:rowOff>1442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C6FA5D20-C906-4876-AAE2-2D5CD2741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003013"/>
          <a:ext cx="1208665" cy="3838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89256-D582-433F-A478-5647B8D7113E}">
  <sheetPr codeName="Sheet1"/>
  <dimension ref="A1:Q15"/>
  <sheetViews>
    <sheetView tabSelected="1" zoomScale="145" zoomScaleNormal="145" workbookViewId="0">
      <selection activeCell="B11" sqref="B11"/>
    </sheetView>
  </sheetViews>
  <sheetFormatPr defaultRowHeight="15" x14ac:dyDescent="0.25"/>
  <cols>
    <col min="1" max="1" width="14.5703125" bestFit="1" customWidth="1"/>
    <col min="4" max="4" width="10.85546875" bestFit="1" customWidth="1"/>
    <col min="5" max="5" width="10.42578125" customWidth="1"/>
    <col min="6" max="6" width="6.7109375" bestFit="1" customWidth="1"/>
    <col min="7" max="7" width="11.7109375" customWidth="1"/>
    <col min="8" max="8" width="8.85546875" customWidth="1"/>
    <col min="9" max="9" width="10.140625" customWidth="1"/>
    <col min="10" max="10" width="11" customWidth="1"/>
    <col min="11" max="11" width="6.7109375" bestFit="1" customWidth="1"/>
    <col min="12" max="12" width="8.5703125" customWidth="1"/>
    <col min="13" max="13" width="11.7109375" customWidth="1"/>
    <col min="14" max="14" width="12.42578125" customWidth="1"/>
    <col min="16" max="16" width="7.42578125" customWidth="1"/>
  </cols>
  <sheetData>
    <row r="1" spans="1:17" ht="47.25" thickBot="1" x14ac:dyDescent="0.75">
      <c r="A1" s="1" t="s">
        <v>0</v>
      </c>
    </row>
    <row r="2" spans="1:17" ht="15.75" thickBot="1" x14ac:dyDescent="0.3">
      <c r="A2" s="22" t="s">
        <v>10</v>
      </c>
      <c r="D2" t="s">
        <v>3</v>
      </c>
      <c r="H2" t="s">
        <v>14</v>
      </c>
      <c r="M2" t="s">
        <v>11</v>
      </c>
      <c r="P2" t="s">
        <v>6</v>
      </c>
    </row>
    <row r="4" spans="1:17" ht="15.75" thickBot="1" x14ac:dyDescent="0.3">
      <c r="D4" s="11"/>
      <c r="E4" s="3"/>
    </row>
    <row r="5" spans="1:17" ht="15.75" thickBot="1" x14ac:dyDescent="0.3">
      <c r="C5" s="11"/>
      <c r="D5" s="13"/>
      <c r="E5" s="14"/>
      <c r="F5" s="8">
        <f>E5-(LearningRate*(D5*DeltaL11))</f>
        <v>0</v>
      </c>
    </row>
    <row r="6" spans="1:17" ht="15.75" thickBot="1" x14ac:dyDescent="0.3">
      <c r="E6" s="14"/>
      <c r="F6" s="8">
        <f>E6-(LearningRate*(D5*DeltaL12))</f>
        <v>0</v>
      </c>
      <c r="H6" s="8">
        <f>H7-LearningRate*(1*I7)</f>
        <v>0</v>
      </c>
    </row>
    <row r="7" spans="1:17" ht="15.75" thickBot="1" x14ac:dyDescent="0.3">
      <c r="A7" t="s">
        <v>9</v>
      </c>
      <c r="B7" s="10">
        <v>0.1</v>
      </c>
      <c r="H7" s="14"/>
      <c r="I7" s="16">
        <f>((DeltaOut1*J8)+(DeltaOut2*J9))*IF(Activation="Relu",IF(H8&lt;=0,0,1), IF(Activation="Threshold",0,(1 / (1 + EXP(-H8)))*(1-(1/(1+EXP(-H8))))))</f>
        <v>0</v>
      </c>
      <c r="M7" s="8">
        <f>M8-LearningRate*(1*DeltaOut1)</f>
        <v>0</v>
      </c>
      <c r="N7" s="21"/>
    </row>
    <row r="8" spans="1:17" ht="15.75" thickBot="1" x14ac:dyDescent="0.3">
      <c r="A8" s="2" t="s">
        <v>1</v>
      </c>
      <c r="H8" s="17">
        <f>SUM(E5*D5,E9*D10,E14*D15,H7)</f>
        <v>0</v>
      </c>
      <c r="I8" s="18">
        <f>IF(Activation="Relu",IF(H8&lt;0,0,H8), IF(Activation="Threshold",IF(H8&lt;0,0,1),1 / (1 + EXP(-H8))))</f>
        <v>0</v>
      </c>
      <c r="J8" s="14"/>
      <c r="K8" s="8">
        <f>J8-(LearningRate*($I$8*DeltaOut1))</f>
        <v>0</v>
      </c>
      <c r="M8" s="14"/>
      <c r="N8" s="16">
        <f>-DeltaCorrector*(Target1-N9)*IF(Activation="Relu",IF(M9&lt;=0,0,1), IF(Activation="Threshold",0,(1 / (1 + EXP(-M9)))*(1-(1/(1+EXP(-M9))))))</f>
        <v>0</v>
      </c>
      <c r="Q8" t="s">
        <v>12</v>
      </c>
    </row>
    <row r="9" spans="1:17" ht="15.75" thickBot="1" x14ac:dyDescent="0.3">
      <c r="A9" s="4" t="s">
        <v>13</v>
      </c>
      <c r="D9" s="11"/>
      <c r="E9" s="14"/>
      <c r="F9" s="8">
        <f>E9-(LearningRate*(D10*DeltaL11))</f>
        <v>0</v>
      </c>
      <c r="J9" s="14"/>
      <c r="K9" s="8">
        <f>J9-(LearningRate*($I$8*DeltaOut2))</f>
        <v>0</v>
      </c>
      <c r="M9" s="17">
        <f>SUM(I8*J8+I13*J12+M8)</f>
        <v>0</v>
      </c>
      <c r="N9" s="18">
        <f>IF(Activation="Relu",IF(M9&lt;0,0,M9), IF(Activation="Threshold",IF(M9&lt;0,0,1),1 / (1 + EXP(-M9))))</f>
        <v>0</v>
      </c>
      <c r="P9" s="15"/>
      <c r="Q9">
        <f>(N9-Target1)^2</f>
        <v>0</v>
      </c>
    </row>
    <row r="10" spans="1:17" ht="15.75" thickBot="1" x14ac:dyDescent="0.3">
      <c r="A10" s="7" t="s">
        <v>6</v>
      </c>
      <c r="C10" s="11"/>
      <c r="D10" s="12"/>
      <c r="E10" s="3"/>
    </row>
    <row r="11" spans="1:17" ht="15.75" thickBot="1" x14ac:dyDescent="0.3">
      <c r="A11" s="5" t="s">
        <v>4</v>
      </c>
      <c r="B11" s="10" t="s">
        <v>5</v>
      </c>
      <c r="E11" s="14"/>
      <c r="F11" s="8">
        <f>E11-(LearningRate*(D10*DeltaL12))</f>
        <v>0</v>
      </c>
      <c r="H11" s="8">
        <f>H12-LearningRate*(1*I12)</f>
        <v>0</v>
      </c>
    </row>
    <row r="12" spans="1:17" ht="15.75" thickBot="1" x14ac:dyDescent="0.3">
      <c r="A12" s="6" t="s">
        <v>2</v>
      </c>
      <c r="H12" s="14"/>
      <c r="I12" s="16">
        <f>((DeltaOut1*J12)+(DeltaOut2*J14))*IF(Activation="Relu",IF(H13&lt;=0,0,1), IF(Activation="Threshold",0,(1 / (1 + EXP(-H13)))*(1-(1/(1+EXP(-H13))))))</f>
        <v>0</v>
      </c>
      <c r="J12" s="19"/>
      <c r="K12" s="8">
        <f>J12-(LearningRate*($I$13*DeltaOut1))</f>
        <v>0</v>
      </c>
      <c r="M12" s="8">
        <f>M13-LearningRate*(1*DeltaOut2)</f>
        <v>0</v>
      </c>
    </row>
    <row r="13" spans="1:17" ht="15.75" thickBot="1" x14ac:dyDescent="0.3">
      <c r="A13" s="9" t="s">
        <v>8</v>
      </c>
      <c r="B13" s="20">
        <v>2</v>
      </c>
      <c r="H13" s="17">
        <f>SUM(D5*E6+D10*E11+D15*E15+H12)</f>
        <v>0</v>
      </c>
      <c r="I13" s="18">
        <f>IF(Activation="Relu",IF(H13&lt;0,0,H13), IF(Activation="Threshold",IF(H13&lt;0,0,1),1 / (1 + EXP(-H13))))</f>
        <v>0</v>
      </c>
      <c r="M13" s="14"/>
      <c r="N13" s="16">
        <f>-(Target1-N14)*IF(Activation="Relu",IF(M14&lt;=0,0,1), IF(Activation="Threshold",0,(1 / (1 + EXP(-M14)))*(1-(1/(1+EXP(-M14))))))</f>
        <v>0</v>
      </c>
      <c r="Q13" t="s">
        <v>12</v>
      </c>
    </row>
    <row r="14" spans="1:17" ht="15.75" thickBot="1" x14ac:dyDescent="0.3">
      <c r="A14" s="8" t="s">
        <v>7</v>
      </c>
      <c r="B14" s="3"/>
      <c r="D14" s="11"/>
      <c r="E14" s="14"/>
      <c r="F14" s="8">
        <f>E14-(LearningRate*(D15*DeltaL11))</f>
        <v>0</v>
      </c>
      <c r="J14" s="14"/>
      <c r="K14" s="8">
        <f>J14-(LearningRate*($I$13*DeltaOut2))</f>
        <v>0</v>
      </c>
      <c r="M14" s="17">
        <f>SUM(I8*J9+I13*J14+M13)</f>
        <v>0</v>
      </c>
      <c r="N14" s="18">
        <f>IF(Activation="Relu",IF(M14&lt;0,0,M14), IF(Activation="Threshold",IF(M14&lt;0,0,1),1 / (1 + EXP(-M14))))</f>
        <v>0</v>
      </c>
      <c r="P14" s="15"/>
      <c r="Q14">
        <f>(N14-Target2)^2</f>
        <v>0</v>
      </c>
    </row>
    <row r="15" spans="1:17" ht="15.75" thickBot="1" x14ac:dyDescent="0.3">
      <c r="C15" s="11"/>
      <c r="D15" s="12"/>
      <c r="E15" s="14"/>
      <c r="F15" s="8">
        <f>E15-(LearningRate*(D15*DeltaL12))</f>
        <v>0</v>
      </c>
    </row>
  </sheetData>
  <dataValidations count="1">
    <dataValidation type="list" allowBlank="1" showInputMessage="1" showErrorMessage="1" sqref="B11" xr:uid="{9F0DF555-830F-44A2-B9FE-BE93E5D29C91}">
      <formula1>"Relu,Threshold,Sigmoid"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Sheet1</vt:lpstr>
      <vt:lpstr>Activation</vt:lpstr>
      <vt:lpstr>Delta12</vt:lpstr>
      <vt:lpstr>DeltaCorrector</vt:lpstr>
      <vt:lpstr>DeltaL11</vt:lpstr>
      <vt:lpstr>DeltaL12</vt:lpstr>
      <vt:lpstr>DeltaOut1</vt:lpstr>
      <vt:lpstr>DeltaOut2</vt:lpstr>
      <vt:lpstr>LearningRate</vt:lpstr>
      <vt:lpstr>Target1</vt:lpstr>
      <vt:lpstr>Target2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Nicolai Hermann</dc:creator>
  <cp:lastModifiedBy>Serpifeu N</cp:lastModifiedBy>
  <dcterms:created xsi:type="dcterms:W3CDTF">2021-01-28T17:59:40Z</dcterms:created>
  <dcterms:modified xsi:type="dcterms:W3CDTF">2021-02-10T20:10:10Z</dcterms:modified>
</cp:coreProperties>
</file>